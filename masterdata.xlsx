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<sst xmlns="http://schemas.openxmlformats.org/spreadsheetml/2006/main" count="260" uniqueCount="124">
  <si>
    <t>Service Category</t>
  </si>
  <si>
    <t>Class</t>
  </si>
  <si>
    <t>Service Type</t>
  </si>
  <si>
    <t>Frequency</t>
  </si>
  <si>
    <t>Primary Job Card</t>
  </si>
  <si>
    <t>Sub Job Card</t>
  </si>
  <si>
    <t>Sub Job (for staff allocation)</t>
  </si>
  <si>
    <t>Unit</t>
  </si>
  <si>
    <t>Unit Interval</t>
  </si>
  <si>
    <t>Min Unit</t>
  </si>
  <si>
    <t>Unit Time Multiple (min)</t>
  </si>
  <si>
    <t>Base Rate per minute</t>
  </si>
  <si>
    <t>Job instances per month</t>
  </si>
  <si>
    <t>Discount</t>
  </si>
  <si>
    <t>Scenario 1- 2BHK</t>
  </si>
  <si>
    <t>Input</t>
  </si>
  <si>
    <t>Base Price /m</t>
  </si>
  <si>
    <t>Effective Price / m</t>
  </si>
  <si>
    <t>Scenario 2 - 3BHK</t>
  </si>
  <si>
    <t>Housekeeping</t>
  </si>
  <si>
    <t>HKP1</t>
  </si>
  <si>
    <t>Core - Routine</t>
  </si>
  <si>
    <t>Daily</t>
  </si>
  <si>
    <t>HKP1-CR-D-1</t>
  </si>
  <si>
    <t>Dusting, Brooming, Mopping</t>
  </si>
  <si>
    <t>HKP1-CR-D-1A</t>
  </si>
  <si>
    <t>Minutes</t>
  </si>
  <si>
    <t>HKP1-CR-D-2</t>
  </si>
  <si>
    <t>Dish Washing</t>
  </si>
  <si>
    <t>HKP1-CR-D-2A</t>
  </si>
  <si>
    <t>Add on - Routine</t>
  </si>
  <si>
    <t>HKP1-AR-D-3</t>
  </si>
  <si>
    <t>Laundry - Machine, Hang &amp; Fold</t>
  </si>
  <si>
    <t>HKP1-AR-D-3A</t>
  </si>
  <si>
    <t>HKP1-AR-D-4</t>
  </si>
  <si>
    <t>Washroom Floor Mopping</t>
  </si>
  <si>
    <t>HKP1-AR-D-4A</t>
  </si>
  <si>
    <t>No. of Washrooms</t>
  </si>
  <si>
    <t>HKP1-AR-D-5</t>
  </si>
  <si>
    <t>Add-on Time - General Purpose</t>
  </si>
  <si>
    <t>HKP1-AR-D-5A</t>
  </si>
  <si>
    <t>HKP2</t>
  </si>
  <si>
    <t>Weekly</t>
  </si>
  <si>
    <t>HKP2-CR-W-6</t>
  </si>
  <si>
    <t>Washroon / Toilet Deep Clean</t>
  </si>
  <si>
    <t>HKP2-CR-W-6A</t>
  </si>
  <si>
    <t>HKP1-AR-W-7</t>
  </si>
  <si>
    <t>Window / Glass Panel Cleaning</t>
  </si>
  <si>
    <t>HKP1-AR-W-7A</t>
  </si>
  <si>
    <t>HKP1-AR-W-8</t>
  </si>
  <si>
    <t>Balcony Deep Clean</t>
  </si>
  <si>
    <t>HKP1-AR-W-8A</t>
  </si>
  <si>
    <t>HKP3</t>
  </si>
  <si>
    <t>HKP3-AR-W-9</t>
  </si>
  <si>
    <t>Laundry - Ironing</t>
  </si>
  <si>
    <t>HKP3-AR-W-9A</t>
  </si>
  <si>
    <t>HKP1-AR-W-10</t>
  </si>
  <si>
    <t>Fridge, Microwave, Chimney &amp; Stove Clean</t>
  </si>
  <si>
    <t>HKP1-AR-W-10A</t>
  </si>
  <si>
    <t>HKP1-AR-W-11</t>
  </si>
  <si>
    <t>Kitchen / Pantry Cabinet Cleaning</t>
  </si>
  <si>
    <t>HKP1-AR-W-11A</t>
  </si>
  <si>
    <t>Kitchen Services</t>
  </si>
  <si>
    <t>KCH</t>
  </si>
  <si>
    <t>KCH-CR-D-1</t>
  </si>
  <si>
    <t>Daily Cooking- Morning Shift</t>
  </si>
  <si>
    <t>KCH-CR-D-1A</t>
  </si>
  <si>
    <t>Daily Cooking- Evening Shift</t>
  </si>
  <si>
    <t>KCH-CR-D-2A</t>
  </si>
  <si>
    <t>Car Care</t>
  </si>
  <si>
    <t>CCR</t>
  </si>
  <si>
    <t>CCR-CR-D-1</t>
  </si>
  <si>
    <t>Basic Car Care Routine</t>
  </si>
  <si>
    <t>CCR-CR-D-1A</t>
  </si>
  <si>
    <t>Daily Outer Cleaning</t>
  </si>
  <si>
    <t>No. of Cars</t>
  </si>
  <si>
    <t>CCR-CR-D-1B</t>
  </si>
  <si>
    <t>Cabin Weekly</t>
  </si>
  <si>
    <t>CCR-AR-D-2</t>
  </si>
  <si>
    <t>Weekly Car Shampoo Wash</t>
  </si>
  <si>
    <t>CCR-AR-D-2A</t>
  </si>
  <si>
    <t>Car Shampoo Wash</t>
  </si>
  <si>
    <t>CCR-AR-D-3</t>
  </si>
  <si>
    <t>Weekly Car Waxing</t>
  </si>
  <si>
    <t>CCR-AR-D-3A</t>
  </si>
  <si>
    <t>Car Waxing</t>
  </si>
  <si>
    <t>Garden Care</t>
  </si>
  <si>
    <t>GCR</t>
  </si>
  <si>
    <t>GCR-CR-D-1</t>
  </si>
  <si>
    <t>Basic Garden Care Routine</t>
  </si>
  <si>
    <t>GCR-CR-D-1A</t>
  </si>
  <si>
    <t>Daily Watering</t>
  </si>
  <si>
    <t>No. of Plants</t>
  </si>
  <si>
    <t>GCR-CR-D-1B</t>
  </si>
  <si>
    <t>Plant Dusting, Soil Pricking &amp; Pruning</t>
  </si>
  <si>
    <t>On Demand</t>
  </si>
  <si>
    <t>HKP1-OD-OD-12</t>
  </si>
  <si>
    <t>On Demand Time - General Purpose</t>
  </si>
  <si>
    <t>HKP1-OD-OD-12A</t>
  </si>
  <si>
    <t>Plan</t>
  </si>
  <si>
    <t>KCH-OD-OD-2</t>
  </si>
  <si>
    <t>Add on Cooking Time</t>
  </si>
  <si>
    <t>KCH-OD-OD-2A</t>
  </si>
  <si>
    <t>Technician Services</t>
  </si>
  <si>
    <t>HMT</t>
  </si>
  <si>
    <t>HMT-OD-OD-1</t>
  </si>
  <si>
    <t>Visitation- Electrician</t>
  </si>
  <si>
    <t>HMT-OD-OD-1A</t>
  </si>
  <si>
    <t>Visit Count</t>
  </si>
  <si>
    <t>HMT-OD-OD-2</t>
  </si>
  <si>
    <t>Visitation- Plumber</t>
  </si>
  <si>
    <t>HMT-OD-OD-2A</t>
  </si>
  <si>
    <t>HMT-OD-OD-3</t>
  </si>
  <si>
    <t>Visitation- Carpenter</t>
  </si>
  <si>
    <t>HMT-OD-OD-3A</t>
  </si>
  <si>
    <t>SMT</t>
  </si>
  <si>
    <t>HMT-OD-OD-4</t>
  </si>
  <si>
    <t>RO Service</t>
  </si>
  <si>
    <t>HMT-OD-OD-4A</t>
  </si>
  <si>
    <t>HMT-OD-OD-5</t>
  </si>
  <si>
    <t>AC Service</t>
  </si>
  <si>
    <t>HMT-OD-OD-5A</t>
  </si>
  <si>
    <t>No of ACs</t>
  </si>
  <si>
    <t>All On Demand Job cards enable only after subscription of base plan is 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</si>
</sst>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5" fillId="0" fontId="2" numFmtId="9" xfId="0" applyAlignment="1" applyBorder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" numFmtId="3" xfId="0" applyAlignment="1" applyFont="1" applyNumberForma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4" fontId="2" numFmtId="3" xfId="0" applyAlignment="1" applyFill="1" applyFont="1" applyNumberForma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center" vertical="bottom"/>
    </xf>
    <xf borderId="7" fillId="4" fontId="2" numFmtId="0" xfId="0" applyAlignment="1" applyBorder="1" applyFont="1">
      <alignment horizontal="center" vertical="bottom"/>
    </xf>
    <xf borderId="0" fillId="3" fontId="2" numFmtId="3" xfId="0" applyAlignment="1" applyFont="1" applyNumberFormat="1">
      <alignment vertical="bottom"/>
    </xf>
    <xf borderId="0" fillId="2" fontId="2" numFmtId="0" xfId="0" applyAlignment="1" applyFont="1">
      <alignment vertical="bottom"/>
    </xf>
    <xf borderId="3" fillId="0" fontId="2" numFmtId="9" xfId="0" applyAlignment="1" applyBorder="1" applyFont="1" applyNumberFormat="1">
      <alignment horizontal="center" vertical="bottom"/>
    </xf>
    <xf borderId="0" fillId="0" fontId="2" numFmtId="4" xfId="0" applyAlignment="1" applyFont="1" applyNumberFormat="1">
      <alignment vertical="bottom"/>
    </xf>
    <xf borderId="7" fillId="2" fontId="2" numFmtId="0" xfId="0" applyAlignment="1" applyBorder="1" applyFont="1">
      <alignment vertical="bottom"/>
    </xf>
    <xf borderId="8" fillId="0" fontId="2" numFmtId="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21.75"/>
    <col customWidth="1" min="4" max="4" width="18.63"/>
    <col customWidth="1" min="5" max="5" width="16.13"/>
    <col customWidth="1" min="6" max="6" width="35.13"/>
    <col customWidth="1" min="7" max="7" width="22.13"/>
    <col customWidth="1" min="8" max="8" width="33.25"/>
    <col customWidth="1" min="9" max="9" width="17.38"/>
    <col customWidth="1" min="13" max="13" width="27.13"/>
    <col customWidth="1" min="14" max="14" width="32.75"/>
    <col customWidth="1" min="16" max="16" width="19.5"/>
    <col customWidth="1" min="19" max="19" width="18.63"/>
    <col customWidth="1" min="20" max="20" width="21.63"/>
    <col customWidth="1" min="23" max="23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3" t="s">
        <v>12</v>
      </c>
      <c r="O1" s="5" t="s">
        <v>13</v>
      </c>
      <c r="P1" s="6" t="s">
        <v>14</v>
      </c>
      <c r="Q1" s="6" t="s">
        <v>15</v>
      </c>
      <c r="R1" s="7" t="s">
        <v>16</v>
      </c>
      <c r="S1" s="6" t="s">
        <v>17</v>
      </c>
      <c r="T1" s="6" t="s">
        <v>18</v>
      </c>
      <c r="U1" s="6" t="s">
        <v>15</v>
      </c>
      <c r="V1" s="7" t="s">
        <v>16</v>
      </c>
      <c r="W1" s="6" t="s">
        <v>17</v>
      </c>
    </row>
    <row r="2">
      <c r="A2" s="8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  <c r="H2" s="9" t="s">
        <v>24</v>
      </c>
      <c r="I2" s="10" t="s">
        <v>26</v>
      </c>
      <c r="J2" s="10">
        <v>15.0</v>
      </c>
      <c r="K2" s="10">
        <v>30.0</v>
      </c>
      <c r="L2" s="10">
        <v>15.0</v>
      </c>
      <c r="M2" s="10">
        <v>3.3</v>
      </c>
      <c r="N2" s="10">
        <v>30.0</v>
      </c>
      <c r="O2" s="11">
        <v>0.3</v>
      </c>
      <c r="P2" s="12"/>
      <c r="Q2" s="13">
        <v>30.0</v>
      </c>
      <c r="R2" s="13">
        <f t="shared" ref="R2:R4" si="1">Q2*M2*N2</f>
        <v>2970</v>
      </c>
      <c r="S2" s="13">
        <f t="shared" ref="S2:S15" si="2">R2*(1-O2)</f>
        <v>2079</v>
      </c>
      <c r="T2" s="12"/>
      <c r="U2" s="13">
        <v>45.0</v>
      </c>
      <c r="V2" s="13">
        <f t="shared" ref="V2:V4" si="3">U2*M2*N2</f>
        <v>4455</v>
      </c>
      <c r="W2" s="13">
        <f t="shared" ref="W2:W15" si="4">V2*(1-O2)</f>
        <v>3118.5</v>
      </c>
    </row>
    <row r="3">
      <c r="A3" s="8" t="s">
        <v>19</v>
      </c>
      <c r="B3" s="9" t="s">
        <v>20</v>
      </c>
      <c r="C3" s="9" t="s">
        <v>21</v>
      </c>
      <c r="D3" s="9" t="s">
        <v>22</v>
      </c>
      <c r="E3" s="9" t="s">
        <v>27</v>
      </c>
      <c r="F3" s="9" t="s">
        <v>28</v>
      </c>
      <c r="G3" s="9" t="s">
        <v>29</v>
      </c>
      <c r="H3" s="9" t="s">
        <v>28</v>
      </c>
      <c r="I3" s="10" t="s">
        <v>26</v>
      </c>
      <c r="J3" s="10">
        <v>5.0</v>
      </c>
      <c r="K3" s="10">
        <v>15.0</v>
      </c>
      <c r="L3" s="10">
        <v>5.0</v>
      </c>
      <c r="M3" s="10">
        <v>3.3</v>
      </c>
      <c r="N3" s="10">
        <v>30.0</v>
      </c>
      <c r="O3" s="11">
        <v>0.3</v>
      </c>
      <c r="P3" s="12"/>
      <c r="Q3" s="13">
        <v>15.0</v>
      </c>
      <c r="R3" s="13">
        <f t="shared" si="1"/>
        <v>1485</v>
      </c>
      <c r="S3" s="13">
        <f t="shared" si="2"/>
        <v>1039.5</v>
      </c>
      <c r="T3" s="12"/>
      <c r="U3" s="13">
        <v>15.0</v>
      </c>
      <c r="V3" s="13">
        <f t="shared" si="3"/>
        <v>1485</v>
      </c>
      <c r="W3" s="13">
        <f t="shared" si="4"/>
        <v>1039.5</v>
      </c>
    </row>
    <row r="4">
      <c r="A4" s="8" t="s">
        <v>19</v>
      </c>
      <c r="B4" s="9" t="s">
        <v>20</v>
      </c>
      <c r="C4" s="9" t="s">
        <v>30</v>
      </c>
      <c r="D4" s="9" t="s">
        <v>22</v>
      </c>
      <c r="E4" s="9" t="s">
        <v>31</v>
      </c>
      <c r="F4" s="9" t="s">
        <v>32</v>
      </c>
      <c r="G4" s="9" t="s">
        <v>33</v>
      </c>
      <c r="H4" s="9" t="s">
        <v>32</v>
      </c>
      <c r="I4" s="10" t="s">
        <v>26</v>
      </c>
      <c r="J4" s="10">
        <v>5.0</v>
      </c>
      <c r="K4" s="10">
        <v>15.0</v>
      </c>
      <c r="L4" s="10">
        <v>5.0</v>
      </c>
      <c r="M4" s="10">
        <v>3.3</v>
      </c>
      <c r="N4" s="10">
        <v>30.0</v>
      </c>
      <c r="O4" s="11">
        <v>0.3</v>
      </c>
      <c r="P4" s="12"/>
      <c r="Q4" s="13">
        <v>15.0</v>
      </c>
      <c r="R4" s="13">
        <f t="shared" si="1"/>
        <v>1485</v>
      </c>
      <c r="S4" s="13">
        <f t="shared" si="2"/>
        <v>1039.5</v>
      </c>
      <c r="T4" s="12"/>
      <c r="U4" s="13">
        <v>15.0</v>
      </c>
      <c r="V4" s="13">
        <f t="shared" si="3"/>
        <v>1485</v>
      </c>
      <c r="W4" s="13">
        <f t="shared" si="4"/>
        <v>1039.5</v>
      </c>
    </row>
    <row r="5">
      <c r="A5" s="8" t="s">
        <v>19</v>
      </c>
      <c r="B5" s="9" t="s">
        <v>20</v>
      </c>
      <c r="C5" s="9" t="s">
        <v>30</v>
      </c>
      <c r="D5" s="9" t="s">
        <v>22</v>
      </c>
      <c r="E5" s="9" t="s">
        <v>34</v>
      </c>
      <c r="F5" s="9" t="s">
        <v>35</v>
      </c>
      <c r="G5" s="9" t="s">
        <v>36</v>
      </c>
      <c r="H5" s="9" t="s">
        <v>35</v>
      </c>
      <c r="I5" s="10" t="s">
        <v>37</v>
      </c>
      <c r="J5" s="10">
        <v>1.0</v>
      </c>
      <c r="K5" s="10">
        <v>1.0</v>
      </c>
      <c r="L5" s="10">
        <v>5.0</v>
      </c>
      <c r="M5" s="10">
        <v>3.3</v>
      </c>
      <c r="N5" s="10">
        <v>30.0</v>
      </c>
      <c r="O5" s="11">
        <v>0.3</v>
      </c>
      <c r="P5" s="12"/>
      <c r="Q5" s="13">
        <v>2.0</v>
      </c>
      <c r="R5" s="13">
        <f>Q5*L5*M5*N5</f>
        <v>990</v>
      </c>
      <c r="S5" s="13">
        <f t="shared" si="2"/>
        <v>693</v>
      </c>
      <c r="T5" s="12"/>
      <c r="U5" s="13">
        <v>3.0</v>
      </c>
      <c r="V5" s="13">
        <f>U5*M5*N5*L5</f>
        <v>1485</v>
      </c>
      <c r="W5" s="13">
        <f t="shared" si="4"/>
        <v>1039.5</v>
      </c>
    </row>
    <row r="6">
      <c r="A6" s="8" t="s">
        <v>19</v>
      </c>
      <c r="B6" s="9" t="s">
        <v>20</v>
      </c>
      <c r="C6" s="9" t="s">
        <v>30</v>
      </c>
      <c r="D6" s="9" t="s">
        <v>22</v>
      </c>
      <c r="E6" s="9" t="s">
        <v>38</v>
      </c>
      <c r="F6" s="9" t="s">
        <v>39</v>
      </c>
      <c r="G6" s="9" t="s">
        <v>40</v>
      </c>
      <c r="H6" s="9" t="s">
        <v>39</v>
      </c>
      <c r="I6" s="10" t="s">
        <v>26</v>
      </c>
      <c r="J6" s="10">
        <v>15.0</v>
      </c>
      <c r="K6" s="10">
        <v>15.0</v>
      </c>
      <c r="L6" s="10">
        <v>15.0</v>
      </c>
      <c r="M6" s="10">
        <v>3.3</v>
      </c>
      <c r="N6" s="10">
        <v>30.0</v>
      </c>
      <c r="O6" s="11">
        <v>0.3</v>
      </c>
      <c r="P6" s="12"/>
      <c r="Q6" s="13">
        <v>0.0</v>
      </c>
      <c r="R6" s="13">
        <f>Q6*M6*N6</f>
        <v>0</v>
      </c>
      <c r="S6" s="13">
        <f t="shared" si="2"/>
        <v>0</v>
      </c>
      <c r="T6" s="12"/>
      <c r="U6" s="13">
        <v>0.0</v>
      </c>
      <c r="V6" s="13">
        <f>U6*M6*N6</f>
        <v>0</v>
      </c>
      <c r="W6" s="13">
        <f t="shared" si="4"/>
        <v>0</v>
      </c>
    </row>
    <row r="7">
      <c r="A7" s="8" t="s">
        <v>19</v>
      </c>
      <c r="B7" s="9" t="s">
        <v>41</v>
      </c>
      <c r="C7" s="9" t="s">
        <v>30</v>
      </c>
      <c r="D7" s="9" t="s">
        <v>42</v>
      </c>
      <c r="E7" s="9" t="s">
        <v>43</v>
      </c>
      <c r="F7" s="9" t="s">
        <v>44</v>
      </c>
      <c r="G7" s="9" t="s">
        <v>45</v>
      </c>
      <c r="H7" s="9" t="s">
        <v>44</v>
      </c>
      <c r="I7" s="10" t="s">
        <v>37</v>
      </c>
      <c r="J7" s="10">
        <v>1.0</v>
      </c>
      <c r="K7" s="10">
        <v>1.0</v>
      </c>
      <c r="L7" s="10">
        <v>30.0</v>
      </c>
      <c r="M7" s="10">
        <v>5.0</v>
      </c>
      <c r="N7" s="10">
        <v>4.0</v>
      </c>
      <c r="O7" s="11">
        <v>0.3</v>
      </c>
      <c r="P7" s="12"/>
      <c r="Q7" s="13">
        <v>2.0</v>
      </c>
      <c r="R7" s="13">
        <f>Q7*L7*M7*N7</f>
        <v>1200</v>
      </c>
      <c r="S7" s="13">
        <f t="shared" si="2"/>
        <v>840</v>
      </c>
      <c r="T7" s="12"/>
      <c r="U7" s="13">
        <v>3.0</v>
      </c>
      <c r="V7" s="13">
        <f>U7*M7*N7*L7</f>
        <v>1800</v>
      </c>
      <c r="W7" s="13">
        <f t="shared" si="4"/>
        <v>1260</v>
      </c>
    </row>
    <row r="8">
      <c r="A8" s="8" t="s">
        <v>19</v>
      </c>
      <c r="B8" s="9" t="s">
        <v>20</v>
      </c>
      <c r="C8" s="9" t="s">
        <v>30</v>
      </c>
      <c r="D8" s="9" t="s">
        <v>42</v>
      </c>
      <c r="E8" s="9" t="s">
        <v>46</v>
      </c>
      <c r="F8" s="9" t="s">
        <v>47</v>
      </c>
      <c r="G8" s="9" t="s">
        <v>48</v>
      </c>
      <c r="H8" s="9" t="s">
        <v>47</v>
      </c>
      <c r="I8" s="10" t="s">
        <v>26</v>
      </c>
      <c r="J8" s="10">
        <v>5.0</v>
      </c>
      <c r="K8" s="10">
        <v>15.0</v>
      </c>
      <c r="L8" s="10">
        <v>5.0</v>
      </c>
      <c r="M8" s="10">
        <v>3.3</v>
      </c>
      <c r="N8" s="10">
        <v>4.0</v>
      </c>
      <c r="O8" s="11">
        <v>0.3</v>
      </c>
      <c r="P8" s="12"/>
      <c r="Q8" s="13">
        <v>15.0</v>
      </c>
      <c r="R8" s="13">
        <f t="shared" ref="R8:R14" si="5">Q8*M8*N8</f>
        <v>198</v>
      </c>
      <c r="S8" s="13">
        <f t="shared" si="2"/>
        <v>138.6</v>
      </c>
      <c r="T8" s="12"/>
      <c r="U8" s="13">
        <v>30.0</v>
      </c>
      <c r="V8" s="13">
        <f t="shared" ref="V8:V14" si="6">U8*M8*N8</f>
        <v>396</v>
      </c>
      <c r="W8" s="13">
        <f t="shared" si="4"/>
        <v>277.2</v>
      </c>
    </row>
    <row r="9">
      <c r="A9" s="8" t="s">
        <v>19</v>
      </c>
      <c r="B9" s="9" t="s">
        <v>20</v>
      </c>
      <c r="C9" s="9" t="s">
        <v>30</v>
      </c>
      <c r="D9" s="9" t="s">
        <v>42</v>
      </c>
      <c r="E9" s="9" t="s">
        <v>49</v>
      </c>
      <c r="F9" s="9" t="s">
        <v>50</v>
      </c>
      <c r="G9" s="9" t="s">
        <v>51</v>
      </c>
      <c r="H9" s="9" t="s">
        <v>50</v>
      </c>
      <c r="I9" s="10" t="s">
        <v>26</v>
      </c>
      <c r="J9" s="10">
        <v>10.0</v>
      </c>
      <c r="K9" s="10">
        <v>10.0</v>
      </c>
      <c r="L9" s="10">
        <v>10.0</v>
      </c>
      <c r="M9" s="10">
        <v>3.3</v>
      </c>
      <c r="N9" s="10">
        <v>4.0</v>
      </c>
      <c r="O9" s="11">
        <v>0.3</v>
      </c>
      <c r="P9" s="12"/>
      <c r="Q9" s="13">
        <v>20.0</v>
      </c>
      <c r="R9" s="13">
        <f t="shared" si="5"/>
        <v>264</v>
      </c>
      <c r="S9" s="13">
        <f t="shared" si="2"/>
        <v>184.8</v>
      </c>
      <c r="T9" s="12"/>
      <c r="U9" s="13">
        <v>30.0</v>
      </c>
      <c r="V9" s="13">
        <f t="shared" si="6"/>
        <v>396</v>
      </c>
      <c r="W9" s="13">
        <f t="shared" si="4"/>
        <v>277.2</v>
      </c>
    </row>
    <row r="10">
      <c r="A10" s="8" t="s">
        <v>19</v>
      </c>
      <c r="B10" s="9" t="s">
        <v>52</v>
      </c>
      <c r="C10" s="9" t="s">
        <v>30</v>
      </c>
      <c r="D10" s="9" t="s">
        <v>42</v>
      </c>
      <c r="E10" s="9" t="s">
        <v>53</v>
      </c>
      <c r="F10" s="9" t="s">
        <v>54</v>
      </c>
      <c r="G10" s="9" t="s">
        <v>55</v>
      </c>
      <c r="H10" s="9" t="s">
        <v>54</v>
      </c>
      <c r="I10" s="10" t="s">
        <v>26</v>
      </c>
      <c r="J10" s="10">
        <v>30.0</v>
      </c>
      <c r="K10" s="10">
        <v>60.0</v>
      </c>
      <c r="L10" s="10">
        <v>30.0</v>
      </c>
      <c r="M10" s="10">
        <v>3.3</v>
      </c>
      <c r="N10" s="10">
        <v>4.0</v>
      </c>
      <c r="O10" s="11">
        <v>0.3</v>
      </c>
      <c r="P10" s="12"/>
      <c r="Q10" s="13">
        <v>60.0</v>
      </c>
      <c r="R10" s="13">
        <f t="shared" si="5"/>
        <v>792</v>
      </c>
      <c r="S10" s="13">
        <f t="shared" si="2"/>
        <v>554.4</v>
      </c>
      <c r="T10" s="12"/>
      <c r="U10" s="13">
        <v>120.0</v>
      </c>
      <c r="V10" s="13">
        <f t="shared" si="6"/>
        <v>1584</v>
      </c>
      <c r="W10" s="13">
        <f t="shared" si="4"/>
        <v>1108.8</v>
      </c>
    </row>
    <row r="11">
      <c r="A11" s="8" t="s">
        <v>19</v>
      </c>
      <c r="B11" s="9" t="s">
        <v>20</v>
      </c>
      <c r="C11" s="9" t="s">
        <v>30</v>
      </c>
      <c r="D11" s="9" t="s">
        <v>42</v>
      </c>
      <c r="E11" s="9" t="s">
        <v>56</v>
      </c>
      <c r="F11" s="9" t="s">
        <v>57</v>
      </c>
      <c r="G11" s="9" t="s">
        <v>58</v>
      </c>
      <c r="H11" s="9" t="s">
        <v>57</v>
      </c>
      <c r="I11" s="10" t="s">
        <v>26</v>
      </c>
      <c r="J11" s="10">
        <v>15.0</v>
      </c>
      <c r="K11" s="10">
        <v>30.0</v>
      </c>
      <c r="L11" s="10">
        <v>15.0</v>
      </c>
      <c r="M11" s="10">
        <v>3.3</v>
      </c>
      <c r="N11" s="10">
        <v>4.0</v>
      </c>
      <c r="O11" s="11">
        <v>0.3</v>
      </c>
      <c r="P11" s="12"/>
      <c r="Q11" s="13">
        <v>30.0</v>
      </c>
      <c r="R11" s="13">
        <f t="shared" si="5"/>
        <v>396</v>
      </c>
      <c r="S11" s="13">
        <f t="shared" si="2"/>
        <v>277.2</v>
      </c>
      <c r="T11" s="12"/>
      <c r="U11" s="13">
        <v>45.0</v>
      </c>
      <c r="V11" s="13">
        <f t="shared" si="6"/>
        <v>594</v>
      </c>
      <c r="W11" s="13">
        <f t="shared" si="4"/>
        <v>415.8</v>
      </c>
    </row>
    <row r="12">
      <c r="A12" s="8" t="s">
        <v>19</v>
      </c>
      <c r="B12" s="9" t="s">
        <v>20</v>
      </c>
      <c r="C12" s="9" t="s">
        <v>30</v>
      </c>
      <c r="D12" s="9" t="s">
        <v>42</v>
      </c>
      <c r="E12" s="9" t="s">
        <v>59</v>
      </c>
      <c r="F12" s="9" t="s">
        <v>60</v>
      </c>
      <c r="G12" s="9" t="s">
        <v>61</v>
      </c>
      <c r="H12" s="9" t="s">
        <v>60</v>
      </c>
      <c r="I12" s="10" t="s">
        <v>26</v>
      </c>
      <c r="J12" s="10">
        <v>10.0</v>
      </c>
      <c r="K12" s="10">
        <v>20.0</v>
      </c>
      <c r="L12" s="10">
        <v>10.0</v>
      </c>
      <c r="M12" s="10">
        <v>3.3</v>
      </c>
      <c r="N12" s="10">
        <v>4.0</v>
      </c>
      <c r="O12" s="11">
        <v>0.3</v>
      </c>
      <c r="P12" s="12"/>
      <c r="Q12" s="13">
        <v>20.0</v>
      </c>
      <c r="R12" s="13">
        <f t="shared" si="5"/>
        <v>264</v>
      </c>
      <c r="S12" s="13">
        <f t="shared" si="2"/>
        <v>184.8</v>
      </c>
      <c r="T12" s="12"/>
      <c r="U12" s="13">
        <v>30.0</v>
      </c>
      <c r="V12" s="13">
        <f t="shared" si="6"/>
        <v>396</v>
      </c>
      <c r="W12" s="13">
        <f t="shared" si="4"/>
        <v>277.2</v>
      </c>
    </row>
    <row r="13">
      <c r="A13" s="8" t="s">
        <v>62</v>
      </c>
      <c r="B13" s="9" t="s">
        <v>63</v>
      </c>
      <c r="C13" s="9" t="s">
        <v>21</v>
      </c>
      <c r="D13" s="9" t="s">
        <v>22</v>
      </c>
      <c r="E13" s="9" t="s">
        <v>64</v>
      </c>
      <c r="F13" s="9" t="s">
        <v>65</v>
      </c>
      <c r="G13" s="9" t="s">
        <v>66</v>
      </c>
      <c r="H13" s="9" t="s">
        <v>65</v>
      </c>
      <c r="I13" s="10" t="s">
        <v>26</v>
      </c>
      <c r="J13" s="10">
        <v>15.0</v>
      </c>
      <c r="K13" s="10">
        <v>45.0</v>
      </c>
      <c r="L13" s="10">
        <v>15.0</v>
      </c>
      <c r="M13" s="10">
        <v>4.0</v>
      </c>
      <c r="N13" s="10">
        <v>30.0</v>
      </c>
      <c r="O13" s="11">
        <v>0.3</v>
      </c>
      <c r="P13" s="12"/>
      <c r="Q13" s="13">
        <v>60.0</v>
      </c>
      <c r="R13" s="13">
        <f t="shared" si="5"/>
        <v>7200</v>
      </c>
      <c r="S13" s="13">
        <f t="shared" si="2"/>
        <v>5040</v>
      </c>
      <c r="T13" s="12"/>
      <c r="U13" s="13">
        <v>60.0</v>
      </c>
      <c r="V13" s="13">
        <f t="shared" si="6"/>
        <v>7200</v>
      </c>
      <c r="W13" s="13">
        <f t="shared" si="4"/>
        <v>5040</v>
      </c>
    </row>
    <row r="14">
      <c r="A14" s="8" t="s">
        <v>62</v>
      </c>
      <c r="B14" s="9" t="s">
        <v>63</v>
      </c>
      <c r="C14" s="9" t="s">
        <v>21</v>
      </c>
      <c r="D14" s="9" t="s">
        <v>22</v>
      </c>
      <c r="E14" s="9" t="s">
        <v>64</v>
      </c>
      <c r="F14" s="9" t="s">
        <v>67</v>
      </c>
      <c r="G14" s="9" t="s">
        <v>68</v>
      </c>
      <c r="H14" s="9" t="s">
        <v>67</v>
      </c>
      <c r="I14" s="10" t="s">
        <v>26</v>
      </c>
      <c r="J14" s="10">
        <v>15.0</v>
      </c>
      <c r="K14" s="10">
        <v>45.0</v>
      </c>
      <c r="L14" s="10">
        <v>15.0</v>
      </c>
      <c r="M14" s="10">
        <v>4.0</v>
      </c>
      <c r="N14" s="10">
        <v>30.0</v>
      </c>
      <c r="O14" s="11">
        <v>0.3</v>
      </c>
      <c r="P14" s="12"/>
      <c r="Q14" s="13">
        <v>0.0</v>
      </c>
      <c r="R14" s="13">
        <f t="shared" si="5"/>
        <v>0</v>
      </c>
      <c r="S14" s="13">
        <f t="shared" si="2"/>
        <v>0</v>
      </c>
      <c r="T14" s="12"/>
      <c r="U14" s="13">
        <v>60.0</v>
      </c>
      <c r="V14" s="13">
        <f t="shared" si="6"/>
        <v>7200</v>
      </c>
      <c r="W14" s="13">
        <f t="shared" si="4"/>
        <v>5040</v>
      </c>
    </row>
    <row r="15">
      <c r="A15" s="8" t="s">
        <v>69</v>
      </c>
      <c r="B15" s="9" t="s">
        <v>70</v>
      </c>
      <c r="C15" s="9" t="s">
        <v>21</v>
      </c>
      <c r="D15" s="9" t="s">
        <v>22</v>
      </c>
      <c r="E15" s="9" t="s">
        <v>71</v>
      </c>
      <c r="F15" s="9" t="s">
        <v>72</v>
      </c>
      <c r="G15" s="9" t="s">
        <v>73</v>
      </c>
      <c r="H15" s="9" t="s">
        <v>74</v>
      </c>
      <c r="I15" s="10" t="s">
        <v>75</v>
      </c>
      <c r="J15" s="10">
        <v>1.0</v>
      </c>
      <c r="K15" s="10">
        <v>1.0</v>
      </c>
      <c r="L15" s="10">
        <v>15.0</v>
      </c>
      <c r="M15" s="10">
        <v>3.3</v>
      </c>
      <c r="N15" s="10">
        <v>30.0</v>
      </c>
      <c r="O15" s="11">
        <v>0.3</v>
      </c>
      <c r="P15" s="12"/>
      <c r="Q15" s="13">
        <v>1.0</v>
      </c>
      <c r="R15" s="13">
        <f>Q15*((L15*N15*M15)+(L16*N16*M16))</f>
        <v>1683</v>
      </c>
      <c r="S15" s="13">
        <f t="shared" si="2"/>
        <v>1178.1</v>
      </c>
      <c r="T15" s="12"/>
      <c r="U15" s="13">
        <v>1.0</v>
      </c>
      <c r="V15" s="13">
        <f>U15*((L15*M15*N15)+(L16*M16*N16))</f>
        <v>1683</v>
      </c>
      <c r="W15" s="13">
        <f t="shared" si="4"/>
        <v>1178.1</v>
      </c>
    </row>
    <row r="16">
      <c r="A16" s="8" t="s">
        <v>69</v>
      </c>
      <c r="B16" s="9" t="s">
        <v>70</v>
      </c>
      <c r="C16" s="9" t="s">
        <v>21</v>
      </c>
      <c r="D16" s="9" t="s">
        <v>42</v>
      </c>
      <c r="E16" s="9" t="s">
        <v>71</v>
      </c>
      <c r="F16" s="9" t="s">
        <v>72</v>
      </c>
      <c r="G16" s="9" t="s">
        <v>76</v>
      </c>
      <c r="H16" s="9" t="s">
        <v>77</v>
      </c>
      <c r="I16" s="10" t="s">
        <v>75</v>
      </c>
      <c r="J16" s="14">
        <f>J15</f>
        <v>1</v>
      </c>
      <c r="K16" s="10">
        <v>1.0</v>
      </c>
      <c r="L16" s="10">
        <v>15.0</v>
      </c>
      <c r="M16" s="10">
        <v>3.3</v>
      </c>
      <c r="N16" s="10">
        <v>4.0</v>
      </c>
      <c r="O16" s="11">
        <v>0.3</v>
      </c>
      <c r="P16" s="12"/>
      <c r="Q16" s="15"/>
      <c r="R16" s="15"/>
      <c r="S16" s="15"/>
      <c r="T16" s="12"/>
      <c r="U16" s="15"/>
      <c r="V16" s="15"/>
      <c r="W16" s="15"/>
    </row>
    <row r="17">
      <c r="A17" s="8" t="s">
        <v>69</v>
      </c>
      <c r="B17" s="9" t="s">
        <v>70</v>
      </c>
      <c r="C17" s="9" t="s">
        <v>30</v>
      </c>
      <c r="D17" s="9" t="s">
        <v>42</v>
      </c>
      <c r="E17" s="9" t="s">
        <v>78</v>
      </c>
      <c r="F17" s="9" t="s">
        <v>79</v>
      </c>
      <c r="G17" s="9" t="s">
        <v>80</v>
      </c>
      <c r="H17" s="9" t="s">
        <v>81</v>
      </c>
      <c r="I17" s="10" t="s">
        <v>75</v>
      </c>
      <c r="J17" s="10">
        <v>1.0</v>
      </c>
      <c r="K17" s="10">
        <v>1.0</v>
      </c>
      <c r="L17" s="10">
        <v>15.0</v>
      </c>
      <c r="M17" s="10">
        <v>3.3</v>
      </c>
      <c r="N17" s="10">
        <v>4.0</v>
      </c>
      <c r="O17" s="11">
        <v>0.3</v>
      </c>
      <c r="P17" s="12"/>
      <c r="Q17" s="13">
        <v>1.0</v>
      </c>
      <c r="R17" s="13">
        <f t="shared" ref="R17:R18" si="7">Q17*L17*M17*N17</f>
        <v>198</v>
      </c>
      <c r="S17" s="13">
        <f t="shared" ref="S17:S19" si="8">R17*(1-O17)</f>
        <v>138.6</v>
      </c>
      <c r="T17" s="12"/>
      <c r="U17" s="13">
        <v>1.0</v>
      </c>
      <c r="V17" s="13">
        <f t="shared" ref="V17:V18" si="9">U17*L17*M17*N17</f>
        <v>198</v>
      </c>
      <c r="W17" s="13">
        <f t="shared" ref="W17:W19" si="10">V17*(1-O17)</f>
        <v>138.6</v>
      </c>
    </row>
    <row r="18">
      <c r="A18" s="8" t="s">
        <v>69</v>
      </c>
      <c r="B18" s="9" t="s">
        <v>70</v>
      </c>
      <c r="C18" s="9" t="s">
        <v>30</v>
      </c>
      <c r="D18" s="9" t="s">
        <v>22</v>
      </c>
      <c r="E18" s="9" t="s">
        <v>82</v>
      </c>
      <c r="F18" s="9" t="s">
        <v>83</v>
      </c>
      <c r="G18" s="9" t="s">
        <v>84</v>
      </c>
      <c r="H18" s="9" t="s">
        <v>85</v>
      </c>
      <c r="I18" s="10" t="s">
        <v>75</v>
      </c>
      <c r="J18" s="10">
        <v>1.0</v>
      </c>
      <c r="K18" s="10">
        <v>1.0</v>
      </c>
      <c r="L18" s="10">
        <v>15.0</v>
      </c>
      <c r="M18" s="10">
        <v>5.0</v>
      </c>
      <c r="N18" s="10">
        <v>4.0</v>
      </c>
      <c r="O18" s="11">
        <v>0.3</v>
      </c>
      <c r="P18" s="12"/>
      <c r="Q18" s="13">
        <v>1.0</v>
      </c>
      <c r="R18" s="13">
        <f t="shared" si="7"/>
        <v>300</v>
      </c>
      <c r="S18" s="13">
        <f t="shared" si="8"/>
        <v>210</v>
      </c>
      <c r="T18" s="12"/>
      <c r="U18" s="13">
        <v>1.0</v>
      </c>
      <c r="V18" s="13">
        <f t="shared" si="9"/>
        <v>300</v>
      </c>
      <c r="W18" s="13">
        <f t="shared" si="10"/>
        <v>210</v>
      </c>
    </row>
    <row r="19">
      <c r="A19" s="8" t="s">
        <v>86</v>
      </c>
      <c r="B19" s="9" t="s">
        <v>87</v>
      </c>
      <c r="C19" s="9" t="s">
        <v>21</v>
      </c>
      <c r="D19" s="9" t="s">
        <v>22</v>
      </c>
      <c r="E19" s="9" t="s">
        <v>88</v>
      </c>
      <c r="F19" s="9" t="s">
        <v>89</v>
      </c>
      <c r="G19" s="9" t="s">
        <v>90</v>
      </c>
      <c r="H19" s="9" t="s">
        <v>91</v>
      </c>
      <c r="I19" s="10" t="s">
        <v>92</v>
      </c>
      <c r="J19" s="10">
        <v>5.0</v>
      </c>
      <c r="K19" s="10">
        <v>10.0</v>
      </c>
      <c r="L19" s="10">
        <v>0.5</v>
      </c>
      <c r="M19" s="10">
        <v>3.3</v>
      </c>
      <c r="N19" s="10">
        <v>30.0</v>
      </c>
      <c r="O19" s="11">
        <v>0.3</v>
      </c>
      <c r="P19" s="12"/>
      <c r="Q19" s="13">
        <v>15.0</v>
      </c>
      <c r="R19" s="13">
        <f>Q19*((L19*M19*N19)+(L20*M20*N20))</f>
        <v>1336.5</v>
      </c>
      <c r="S19" s="13">
        <f t="shared" si="8"/>
        <v>935.55</v>
      </c>
      <c r="T19" s="12"/>
      <c r="U19" s="13">
        <v>20.0</v>
      </c>
      <c r="V19" s="13">
        <f>U19*((L19*M19*N19)+(L20*M20*N20))</f>
        <v>1782</v>
      </c>
      <c r="W19" s="13">
        <f t="shared" si="10"/>
        <v>1247.4</v>
      </c>
    </row>
    <row r="20">
      <c r="A20" s="16" t="s">
        <v>86</v>
      </c>
      <c r="B20" s="17" t="s">
        <v>87</v>
      </c>
      <c r="C20" s="17" t="s">
        <v>21</v>
      </c>
      <c r="D20" s="17" t="s">
        <v>42</v>
      </c>
      <c r="E20" s="17" t="s">
        <v>88</v>
      </c>
      <c r="F20" s="17" t="s">
        <v>89</v>
      </c>
      <c r="G20" s="17" t="s">
        <v>93</v>
      </c>
      <c r="H20" s="17" t="s">
        <v>94</v>
      </c>
      <c r="I20" s="18" t="s">
        <v>92</v>
      </c>
      <c r="J20" s="19">
        <f>J19</f>
        <v>5</v>
      </c>
      <c r="K20" s="18">
        <v>10.0</v>
      </c>
      <c r="L20" s="18">
        <v>3.0</v>
      </c>
      <c r="M20" s="18">
        <v>3.3</v>
      </c>
      <c r="N20" s="18">
        <v>4.0</v>
      </c>
      <c r="O20" s="11">
        <v>0.3</v>
      </c>
      <c r="P20" s="12"/>
      <c r="Q20" s="20"/>
      <c r="R20" s="20"/>
      <c r="S20" s="20"/>
      <c r="T20" s="12"/>
      <c r="U20" s="15"/>
      <c r="V20" s="15"/>
      <c r="W20" s="15"/>
    </row>
    <row r="21">
      <c r="A21" s="8" t="s">
        <v>19</v>
      </c>
      <c r="B21" s="9" t="s">
        <v>20</v>
      </c>
      <c r="C21" s="21" t="s">
        <v>95</v>
      </c>
      <c r="D21" s="9" t="s">
        <v>22</v>
      </c>
      <c r="E21" s="9" t="s">
        <v>96</v>
      </c>
      <c r="F21" s="9" t="s">
        <v>97</v>
      </c>
      <c r="G21" s="9" t="s">
        <v>98</v>
      </c>
      <c r="H21" s="9" t="s">
        <v>97</v>
      </c>
      <c r="I21" s="10" t="s">
        <v>26</v>
      </c>
      <c r="J21" s="10">
        <v>15.0</v>
      </c>
      <c r="K21" s="10">
        <v>15.0</v>
      </c>
      <c r="L21" s="10">
        <v>15.0</v>
      </c>
      <c r="M21" s="10">
        <v>3.3</v>
      </c>
      <c r="N21" s="9"/>
      <c r="O21" s="22">
        <v>0.3</v>
      </c>
      <c r="P21" s="12"/>
      <c r="Q21" s="6" t="s">
        <v>99</v>
      </c>
      <c r="R21" s="6">
        <f t="shared" ref="R21:S21" si="11">sum(R2:R20)</f>
        <v>20761.5</v>
      </c>
      <c r="S21" s="6">
        <f t="shared" si="11"/>
        <v>14533.05</v>
      </c>
      <c r="T21" s="23"/>
      <c r="U21" s="6" t="s">
        <v>99</v>
      </c>
      <c r="V21" s="6">
        <f t="shared" ref="V21:W21" si="12">sum(V2:V20)</f>
        <v>32439</v>
      </c>
      <c r="W21" s="6">
        <f t="shared" si="12"/>
        <v>22707.3</v>
      </c>
    </row>
    <row r="22">
      <c r="A22" s="8" t="s">
        <v>62</v>
      </c>
      <c r="B22" s="9" t="s">
        <v>63</v>
      </c>
      <c r="C22" s="21" t="s">
        <v>95</v>
      </c>
      <c r="D22" s="9" t="s">
        <v>95</v>
      </c>
      <c r="E22" s="9" t="s">
        <v>100</v>
      </c>
      <c r="F22" s="9" t="s">
        <v>101</v>
      </c>
      <c r="G22" s="9" t="s">
        <v>102</v>
      </c>
      <c r="H22" s="9" t="s">
        <v>101</v>
      </c>
      <c r="I22" s="10" t="s">
        <v>26</v>
      </c>
      <c r="J22" s="10">
        <v>30.0</v>
      </c>
      <c r="K22" s="10">
        <v>60.0</v>
      </c>
      <c r="L22" s="10">
        <v>30.0</v>
      </c>
      <c r="M22" s="10">
        <v>4.0</v>
      </c>
      <c r="N22" s="9"/>
      <c r="O22" s="11">
        <v>0.3</v>
      </c>
      <c r="P22" s="12"/>
      <c r="Q22" s="12"/>
      <c r="R22" s="23"/>
      <c r="S22" s="23"/>
      <c r="T22" s="23"/>
      <c r="U22" s="23"/>
      <c r="V22" s="9"/>
      <c r="W22" s="9"/>
    </row>
    <row r="23">
      <c r="A23" s="8" t="s">
        <v>103</v>
      </c>
      <c r="B23" s="9" t="s">
        <v>104</v>
      </c>
      <c r="C23" s="21" t="s">
        <v>95</v>
      </c>
      <c r="D23" s="9" t="s">
        <v>95</v>
      </c>
      <c r="E23" s="9" t="s">
        <v>105</v>
      </c>
      <c r="F23" s="9" t="s">
        <v>106</v>
      </c>
      <c r="G23" s="9" t="s">
        <v>107</v>
      </c>
      <c r="H23" s="9" t="s">
        <v>106</v>
      </c>
      <c r="I23" s="10" t="s">
        <v>108</v>
      </c>
      <c r="J23" s="10">
        <v>1.0</v>
      </c>
      <c r="K23" s="10">
        <v>1.0</v>
      </c>
      <c r="L23" s="10">
        <v>30.0</v>
      </c>
      <c r="M23" s="10">
        <v>4.0</v>
      </c>
      <c r="N23" s="9"/>
      <c r="O23" s="11">
        <v>0.3</v>
      </c>
      <c r="P23" s="12"/>
      <c r="Q23" s="12"/>
      <c r="R23" s="23"/>
      <c r="S23" s="23"/>
      <c r="T23" s="23"/>
      <c r="U23" s="23"/>
      <c r="V23" s="9"/>
      <c r="W23" s="9"/>
    </row>
    <row r="24">
      <c r="A24" s="8" t="s">
        <v>103</v>
      </c>
      <c r="B24" s="9" t="s">
        <v>104</v>
      </c>
      <c r="C24" s="21" t="s">
        <v>95</v>
      </c>
      <c r="D24" s="9" t="s">
        <v>95</v>
      </c>
      <c r="E24" s="9" t="s">
        <v>109</v>
      </c>
      <c r="F24" s="9" t="s">
        <v>110</v>
      </c>
      <c r="G24" s="9" t="s">
        <v>111</v>
      </c>
      <c r="H24" s="9" t="s">
        <v>110</v>
      </c>
      <c r="I24" s="10" t="s">
        <v>108</v>
      </c>
      <c r="J24" s="10">
        <v>1.0</v>
      </c>
      <c r="K24" s="10">
        <v>1.0</v>
      </c>
      <c r="L24" s="10">
        <v>30.0</v>
      </c>
      <c r="M24" s="10">
        <v>4.0</v>
      </c>
      <c r="N24" s="9"/>
      <c r="O24" s="11">
        <v>0.3</v>
      </c>
      <c r="P24" s="12"/>
      <c r="Q24" s="12"/>
      <c r="R24" s="23"/>
      <c r="S24" s="23"/>
      <c r="T24" s="23"/>
      <c r="U24" s="23"/>
      <c r="V24" s="9"/>
      <c r="W24" s="9"/>
    </row>
    <row r="25">
      <c r="A25" s="8" t="s">
        <v>103</v>
      </c>
      <c r="B25" s="9" t="s">
        <v>104</v>
      </c>
      <c r="C25" s="21" t="s">
        <v>95</v>
      </c>
      <c r="D25" s="9" t="s">
        <v>95</v>
      </c>
      <c r="E25" s="9" t="s">
        <v>112</v>
      </c>
      <c r="F25" s="9" t="s">
        <v>113</v>
      </c>
      <c r="G25" s="9" t="s">
        <v>114</v>
      </c>
      <c r="H25" s="9" t="s">
        <v>113</v>
      </c>
      <c r="I25" s="10" t="s">
        <v>108</v>
      </c>
      <c r="J25" s="10">
        <v>1.0</v>
      </c>
      <c r="K25" s="10">
        <v>1.0</v>
      </c>
      <c r="L25" s="10">
        <v>30.0</v>
      </c>
      <c r="M25" s="10">
        <v>4.0</v>
      </c>
      <c r="N25" s="9"/>
      <c r="O25" s="11">
        <v>0.3</v>
      </c>
      <c r="P25" s="12"/>
      <c r="Q25" s="12"/>
      <c r="R25" s="23"/>
      <c r="S25" s="23"/>
      <c r="T25" s="23"/>
      <c r="U25" s="23"/>
      <c r="V25" s="9"/>
      <c r="W25" s="9"/>
    </row>
    <row r="26">
      <c r="A26" s="8" t="s">
        <v>103</v>
      </c>
      <c r="B26" s="9" t="s">
        <v>115</v>
      </c>
      <c r="C26" s="21" t="s">
        <v>95</v>
      </c>
      <c r="D26" s="9" t="s">
        <v>95</v>
      </c>
      <c r="E26" s="9" t="s">
        <v>116</v>
      </c>
      <c r="F26" s="9" t="s">
        <v>117</v>
      </c>
      <c r="G26" s="9" t="s">
        <v>118</v>
      </c>
      <c r="H26" s="9" t="s">
        <v>117</v>
      </c>
      <c r="I26" s="10" t="s">
        <v>108</v>
      </c>
      <c r="J26" s="10">
        <v>1.0</v>
      </c>
      <c r="K26" s="10">
        <v>1.0</v>
      </c>
      <c r="L26" s="10">
        <v>60.0</v>
      </c>
      <c r="M26" s="10">
        <v>5.0</v>
      </c>
      <c r="N26" s="9"/>
      <c r="O26" s="11">
        <v>0.3</v>
      </c>
      <c r="P26" s="12"/>
      <c r="Q26" s="12"/>
      <c r="R26" s="23"/>
      <c r="S26" s="23"/>
      <c r="T26" s="23"/>
      <c r="U26" s="23"/>
      <c r="V26" s="9"/>
      <c r="W26" s="9"/>
    </row>
    <row r="27">
      <c r="A27" s="16" t="s">
        <v>103</v>
      </c>
      <c r="B27" s="17" t="s">
        <v>115</v>
      </c>
      <c r="C27" s="24" t="s">
        <v>95</v>
      </c>
      <c r="D27" s="17" t="s">
        <v>95</v>
      </c>
      <c r="E27" s="17" t="s">
        <v>119</v>
      </c>
      <c r="F27" s="17" t="s">
        <v>120</v>
      </c>
      <c r="G27" s="17" t="s">
        <v>121</v>
      </c>
      <c r="H27" s="17" t="s">
        <v>120</v>
      </c>
      <c r="I27" s="18" t="s">
        <v>122</v>
      </c>
      <c r="J27" s="18">
        <v>1.0</v>
      </c>
      <c r="K27" s="18">
        <v>1.0</v>
      </c>
      <c r="L27" s="18">
        <v>60.0</v>
      </c>
      <c r="M27" s="18">
        <v>5.0</v>
      </c>
      <c r="N27" s="17"/>
      <c r="O27" s="25">
        <v>0.3</v>
      </c>
      <c r="P27" s="12"/>
      <c r="Q27" s="12"/>
      <c r="R27" s="23"/>
      <c r="S27" s="23"/>
      <c r="T27" s="23"/>
      <c r="U27" s="23"/>
      <c r="V27" s="9"/>
      <c r="W27" s="9"/>
    </row>
    <row r="28">
      <c r="A28" s="21" t="s">
        <v>123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2"/>
      <c r="Q28" s="12"/>
      <c r="R28" s="23"/>
      <c r="S28" s="23"/>
      <c r="T28" s="23"/>
      <c r="U28" s="23"/>
      <c r="V28" s="9"/>
      <c r="W28" s="9"/>
    </row>
  </sheetData>
  <drawing r:id="rId1"/>
</worksheet>
</file>